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</sheets>
  <externalReferences>
    <externalReference r:id="rId9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<sst xmlns="http://schemas.openxmlformats.org/spreadsheetml/2006/main" count="123" uniqueCount="66">
  <si>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</si>
  <si>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</si>
  <si>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</si>
  <si>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</si>
  <si>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</si>
  <si>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</si>
  <si>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</si>
  <si>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</si>
  <si>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</si>
  <si>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</si>
  <si>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</si>
  <si>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</si>
  <si>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</si>
  <si>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</si>
  <si>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</si>
  <si>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</si>
  <si>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</si>
  <si>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</si>
  <si>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</si>
  <si>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</si>
  <si>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</si>
  <si>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</si>
  <si>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</si>
  <si>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</si>
  <si>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</si>
  <si>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</si>
  <si>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</si>
  <si>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</si>
  <si>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</si>
  <si>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</si>
  <si>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</si>
  <si>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</si>
  <si>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</si>
  <si>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</si>
  <si>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</si>
  <si>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</si>
  <si>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</si>
  <si>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</si>
  <si>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</si>
  <si>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</si>
  <si>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</si>
  <si>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</si>
  <si>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</si>
  <si>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</si>
  <si>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</si>
  <si>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</si>
  <si>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</si>
  <si>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L-S0018</t>
  </si>
  <si>
    <t>សួរ អៀកងួន លក់ស្បោងផ្លាស្ទីក</t>
  </si>
  <si>
    <t>Vendor :</t>
  </si>
  <si>
    <t>ALL</t>
  </si>
  <si>
    <t>Add_Journal</t>
  </si>
  <si>
    <t>Add_Additional</t>
  </si>
  <si>
    <t>INSERT INTO [dbo].[PaymentSequence] VALUES('2022001')</t>
  </si>
  <si>
    <t>C001</t>
  </si>
  <si>
    <t>C110000</t>
  </si>
  <si>
    <t>2022001</t>
  </si>
  <si>
    <t>PO/22-000408</t>
  </si>
  <si>
    <t>L-F0005</t>
  </si>
  <si>
    <t>Contract No.LIN20220702TSFOB</t>
  </si>
  <si>
    <t>FOSHAN PRIX BUILDING MATERIAL Co.,LTD(YS)</t>
  </si>
  <si>
    <t>2022002</t>
  </si>
  <si>
    <t>PO/22-000331</t>
  </si>
  <si>
    <t>Delivery to W.H07 Tel:097 90 65 782</t>
  </si>
  <si>
    <t>??? ?????? ?????????????????</t>
  </si>
  <si>
    <t>2022003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</si>
</sst>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abSelected="1" zoomScale="85" zoomScaleNormal="85" workbookViewId="0">
      <selection activeCell="F10" sqref="F10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6328125" style="6" bestFit="1" customWidth="1"/>
    <col min="11" max="11" width="14.54296875" style="6" bestFit="1" customWidth="1"/>
    <col min="12" max="12" width="9" style="6" bestFit="1" customWidth="1"/>
    <col min="13" max="13" width="49.7265625" style="11" bestFit="1" customWidth="1"/>
    <col min="14" max="14" width="14" style="6" bestFit="1" customWidth="1"/>
    <col min="15" max="15" width="31.81640625" style="6" bestFit="1" customWidth="1"/>
    <col min="16" max="16" width="9.5429687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.08984375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1796875" style="6" bestFit="1" customWidth="1"/>
    <col min="25" max="25" width="9.36328125" style="6" bestFit="1" customWidth="1"/>
    <col min="26" max="26" width="8.54296875" style="6" bestFit="1" customWidth="1"/>
    <col min="27" max="27" width="11.26953125" style="6" hidden="1" customWidth="1"/>
    <col min="28" max="28" width="0" style="6" hidden="1" customWidth="1"/>
    <col min="29" max="16384" width="8.7265625" style="6"/>
  </cols>
  <sheetData>
    <row r="1" spans="1:28" ht="24" customHeight="1" x14ac:dyDescent="0.35">
      <c r="A1" s="29" t="s">
        <v>41</v>
      </c>
      <c r="B1" s="28" t="s">
        <v>50</v>
      </c>
      <c r="M1" s="6"/>
    </row>
    <row r="2" spans="1:28" ht="25" customHeight="1" x14ac:dyDescent="0.35">
      <c r="A2" s="29" t="s">
        <v>49</v>
      </c>
      <c r="B2" s="28" t="s">
        <v>50</v>
      </c>
      <c r="C2" s="7"/>
      <c r="D2" s="7"/>
      <c r="E2" s="7"/>
      <c r="M2" s="6"/>
    </row>
    <row r="3" spans="1:28" ht="14.5" x14ac:dyDescent="0.35">
      <c r="C3" s="7"/>
      <c r="D3" s="7"/>
      <c r="E3" s="7"/>
      <c r="M3" s="6"/>
    </row>
    <row r="4" spans="1:28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  <c r="AA4" s="6" t="s">
        <v>51</v>
      </c>
      <c r="AB4" s="6" t="s">
        <v>52</v>
      </c>
    </row>
    <row r="5" spans="1:28" x14ac:dyDescent="1.1499999999999999">
      <c r="A5" s="17">
        <v>2022001</v>
      </c>
      <c r="B5" s="14" t="s">
        <v>40</v>
      </c>
      <c r="C5" s="15">
        <v>44760.446341354167</v>
      </c>
      <c r="D5" s="15">
        <v>44754</v>
      </c>
      <c r="E5" s="15">
        <v>44754</v>
      </c>
      <c r="F5" s="14">
        <v>1000</v>
      </c>
      <c r="G5" s="14">
        <v>10</v>
      </c>
      <c r="H5" s="14"/>
      <c r="I5" s="14"/>
      <c r="J5" s="14">
        <v>3</v>
      </c>
      <c r="K5" s="14"/>
      <c r="L5" s="14"/>
      <c r="M5" s="16"/>
      <c r="N5" s="14"/>
      <c r="O5" s="14"/>
      <c r="P5" s="14">
        <v>0</v>
      </c>
      <c r="Q5" s="14">
        <v>0</v>
      </c>
      <c r="R5" s="14">
        <v>1000</v>
      </c>
      <c r="S5" s="14"/>
      <c r="T5" s="14"/>
      <c r="U5" s="14"/>
      <c r="V5" s="14">
        <v>0</v>
      </c>
      <c r="W5" s="14"/>
      <c r="X5" s="14" t="s">
        <v>54</v>
      </c>
      <c r="Y5" s="14">
        <v>10000</v>
      </c>
      <c r="Z5" s="23">
        <v>10000</v>
      </c>
    </row>
    <row r="6" spans="1:28" x14ac:dyDescent="1.1499999999999999">
      <c r="A6" s="18">
        <v>2022002</v>
      </c>
      <c r="B6" s="8" t="s">
        <v>40</v>
      </c>
      <c r="C6" s="9">
        <v>44760.470607291667</v>
      </c>
      <c r="D6" s="9">
        <v>44754</v>
      </c>
      <c r="E6" s="9">
        <v>44754</v>
      </c>
      <c r="F6" s="8">
        <v>6701.8</v>
      </c>
      <c r="G6" s="8">
        <v>100</v>
      </c>
      <c r="H6" s="8"/>
      <c r="I6" s="8"/>
      <c r="J6" s="8">
        <v>4</v>
      </c>
      <c r="K6" s="8" t="s">
        <v>57</v>
      </c>
      <c r="L6" s="8" t="s">
        <v>58</v>
      </c>
      <c r="M6" s="10" t="s">
        <v>60</v>
      </c>
      <c r="N6" s="8"/>
      <c r="O6" s="8" t="s">
        <v>59</v>
      </c>
      <c r="P6" s="8">
        <v>6701.7950000000001</v>
      </c>
      <c r="Q6" s="8">
        <v>-0.01</v>
      </c>
      <c r="R6" s="8">
        <v>6701.8</v>
      </c>
      <c r="S6" s="8"/>
      <c r="T6" s="8"/>
      <c r="U6" s="8"/>
      <c r="V6" s="8">
        <v>0</v>
      </c>
      <c r="W6" s="8"/>
      <c r="X6" s="8" t="s">
        <v>54</v>
      </c>
      <c r="Y6" s="8">
        <v>10000</v>
      </c>
      <c r="Z6" s="24">
        <v>4298.2</v>
      </c>
    </row>
    <row r="7" spans="1:28" x14ac:dyDescent="1.1499999999999999">
      <c r="A7" s="19">
        <v>2022003</v>
      </c>
      <c r="B7" s="20" t="s">
        <v>40</v>
      </c>
      <c r="C7" s="21">
        <v>44760.7112184375</v>
      </c>
      <c r="D7" s="21">
        <v>44754</v>
      </c>
      <c r="E7" s="21">
        <v>44754</v>
      </c>
      <c r="F7" s="20">
        <v>4000</v>
      </c>
      <c r="G7" s="20">
        <v>100</v>
      </c>
      <c r="H7" s="20"/>
      <c r="I7" s="20"/>
      <c r="J7" s="20">
        <v>5</v>
      </c>
      <c r="K7" s="20" t="s">
        <v>62</v>
      </c>
      <c r="L7" s="20" t="s">
        <v>47</v>
      </c>
      <c r="M7" s="22" t="s">
        <v>64</v>
      </c>
      <c r="N7" s="20"/>
      <c r="O7" s="20" t="s">
        <v>63</v>
      </c>
      <c r="P7" s="20">
        <v>4000</v>
      </c>
      <c r="Q7" s="20">
        <v>0</v>
      </c>
      <c r="R7" s="20">
        <v>4000</v>
      </c>
      <c r="S7" s="20"/>
      <c r="T7" s="20"/>
      <c r="U7" s="20"/>
      <c r="V7" s="20">
        <v>298.2</v>
      </c>
      <c r="W7" s="20"/>
      <c r="X7" s="20" t="s">
        <v>54</v>
      </c>
      <c r="Y7" s="20">
        <v>10000</v>
      </c>
      <c r="Z7" s="25">
        <v>0</v>
      </c>
    </row>
    <row r="8" spans="1:28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8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8" x14ac:dyDescent="1.1499999999999999">
      <c r="A10" s="8"/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8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8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8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8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8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8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51</v>
      </c>
      <c r="AB1" t="s">
        <v>52</v>
      </c>
    </row>
    <row r="2" spans="1:28" x14ac:dyDescent="0.35">
      <c r="A2">
        <v>2022001</v>
      </c>
      <c r="B2" t="s">
        <v>40</v>
      </c>
      <c r="C2" s="32">
        <v>44760.446341354167</v>
      </c>
      <c r="D2" s="32">
        <v>44754</v>
      </c>
      <c r="E2" s="32">
        <v>44754</v>
      </c>
      <c r="F2">
        <v>1000</v>
      </c>
      <c r="G2">
        <v>10</v>
      </c>
      <c r="J2">
        <v>3</v>
      </c>
      <c r="P2">
        <v>0</v>
      </c>
      <c r="Q2">
        <v>0</v>
      </c>
      <c r="R2">
        <v>1000</v>
      </c>
      <c r="V2">
        <v>0</v>
      </c>
      <c r="X2" t="s">
        <v>54</v>
      </c>
      <c r="Y2">
        <v>10000</v>
      </c>
      <c r="Z2">
        <v>10000</v>
      </c>
    </row>
    <row r="3" spans="1:28" x14ac:dyDescent="0.35">
      <c r="A3">
        <v>2022002</v>
      </c>
      <c r="B3" t="s">
        <v>40</v>
      </c>
      <c r="C3" s="32">
        <v>44760.470607291667</v>
      </c>
      <c r="D3" s="32">
        <v>44754</v>
      </c>
      <c r="E3" s="32">
        <v>44754</v>
      </c>
      <c r="F3">
        <v>6701.8</v>
      </c>
      <c r="G3">
        <v>100</v>
      </c>
      <c r="J3">
        <v>4</v>
      </c>
      <c r="K3" t="s">
        <v>57</v>
      </c>
      <c r="L3" t="s">
        <v>58</v>
      </c>
      <c r="M3" t="s">
        <v>60</v>
      </c>
      <c r="O3" t="s">
        <v>59</v>
      </c>
      <c r="P3">
        <v>6701.7950000000001</v>
      </c>
      <c r="Q3">
        <v>-0.01</v>
      </c>
      <c r="R3">
        <v>6701.8</v>
      </c>
      <c r="V3">
        <v>0</v>
      </c>
      <c r="X3" t="s">
        <v>54</v>
      </c>
      <c r="Y3">
        <v>10000</v>
      </c>
      <c r="Z3">
        <v>4298.2</v>
      </c>
    </row>
    <row r="4" spans="1:28" x14ac:dyDescent="0.35">
      <c r="A4">
        <v>2022003</v>
      </c>
      <c r="B4" t="s">
        <v>40</v>
      </c>
      <c r="C4" s="32">
        <v>44760.7112184375</v>
      </c>
      <c r="D4" s="32">
        <v>44754</v>
      </c>
      <c r="E4" s="32">
        <v>44754</v>
      </c>
      <c r="F4">
        <v>4000</v>
      </c>
      <c r="G4">
        <v>100</v>
      </c>
      <c r="J4">
        <v>5</v>
      </c>
      <c r="K4" t="s">
        <v>62</v>
      </c>
      <c r="L4" t="s">
        <v>47</v>
      </c>
      <c r="M4" t="s">
        <v>64</v>
      </c>
      <c r="O4" t="s">
        <v>63</v>
      </c>
      <c r="P4">
        <v>4000</v>
      </c>
      <c r="Q4">
        <v>0</v>
      </c>
      <c r="R4">
        <v>4000</v>
      </c>
      <c r="V4">
        <v>298.2</v>
      </c>
      <c r="X4" t="s">
        <v>54</v>
      </c>
      <c r="Y4">
        <v>10000</v>
      </c>
      <c r="Z4"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57</v>
      </c>
    </row>
    <row r="3" spans="1:6" x14ac:dyDescent="0.35">
      <c r="A3" s="30" t="str">
        <f ca="1">[1]!AG_SMRT("0,Summary Report 1,1",$B$2,$B$2)</f>
        <v>Purchase Order Reference</v>
      </c>
      <c r="B3" s="31" t="s">
        <v>12</v>
      </c>
      <c r="C3" s="31" t="s">
        <v>18</v>
      </c>
      <c r="D3" s="31" t="s">
        <v>14</v>
      </c>
      <c r="E3" s="31" t="s">
        <v>15</v>
      </c>
      <c r="F3" s="30" t="str">
        <f ca="1">[1]!AG_SMRT("0,Summary Report 2,1",$B4,$B4)</f>
        <v>Supplier Name</v>
      </c>
    </row>
    <row r="4" spans="1:6" ht="15" thickBot="1" x14ac:dyDescent="0.4">
      <c r="A4" s="2" t="s">
        <v>62</v>
      </c>
      <c r="B4" s="2" t="s">
        <v>47</v>
      </c>
      <c r="C4" s="4">
        <v>220</v>
      </c>
      <c r="D4" s="2" t="s">
        <v>46</v>
      </c>
      <c r="E4" s="2" t="s">
        <v>63</v>
      </c>
      <c r="F4" s="3" t="s">
        <v>48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53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56</v>
      </c>
    </row>
    <row r="3" spans="1:1" x14ac:dyDescent="0.35">
      <c r="A3" t="s">
        <v>61</v>
      </c>
    </row>
    <row r="4" spans="1:1" x14ac:dyDescent="0.35">
      <c r="A4" t="s">
        <v>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54</v>
      </c>
      <c r="B2">
        <v>10000</v>
      </c>
      <c r="C2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App</vt:lpstr>
      <vt:lpstr>User</vt:lpstr>
      <vt:lpstr>Support</vt:lpstr>
      <vt:lpstr>tmpscrapsheet</vt:lpstr>
      <vt:lpstr>PO_Data</vt:lpstr>
      <vt:lpstr>Increment</vt:lpstr>
      <vt:lpstr>Contract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2022-07-20T00:37:51Z</cp:lastPrinted>
  <dcterms:created xsi:type="dcterms:W3CDTF">2022-06-26T04:06:06Z</dcterms:created>
  <dcterms:modified xsi:type="dcterms:W3CDTF">2022-07-21T02:07:24Z</dcterms:modified>
</cp:coreProperties>
</file>