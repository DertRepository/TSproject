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state="hidden" r:id="rId9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<sst xmlns="http://schemas.openxmlformats.org/spreadsheetml/2006/main" count="263" uniqueCount="133">
  <si>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</si>
  <si>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</si>
  <si>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</si>
  <si>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</si>
  <si>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</si>
  <si>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</si>
  <si>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</si>
  <si>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</si>
  <si>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</si>
  <si>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</si>
  <si>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</si>
  <si>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</si>
  <si>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</si>
  <si>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</si>
  <si>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</si>
  <si>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</si>
  <si>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</si>
  <si>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</si>
  <si>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</si>
  <si>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</si>
  <si>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</si>
  <si>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</si>
  <si>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</si>
  <si>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</si>
  <si>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</si>
  <si>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</si>
  <si>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</si>
  <si>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</si>
  <si>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</si>
  <si>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</si>
  <si>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</si>
  <si>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</si>
  <si>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</si>
  <si>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</si>
  <si>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</si>
  <si>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</si>
  <si>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</si>
  <si>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</si>
  <si>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</si>
  <si>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</si>
  <si>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</si>
  <si>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</si>
  <si>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</si>
  <si>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</si>
  <si>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</si>
  <si>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N/A</t>
  </si>
  <si>
    <t>2022001</t>
  </si>
  <si>
    <t>2022002</t>
  </si>
  <si>
    <t>2022003</t>
  </si>
  <si>
    <t>2022004</t>
  </si>
  <si>
    <t>2022005</t>
  </si>
  <si>
    <t>2022006</t>
  </si>
  <si>
    <t>2022007</t>
  </si>
  <si>
    <t>2022008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</si>
  <si>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</si>
  <si>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</si>
  <si>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</si>
  <si>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</si>
  <si>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</si>
  <si>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</si>
  <si>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</si>
  <si>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</si>
  <si>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</si>
  <si>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</si>
  <si>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</si>
  <si>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</si>
  <si>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</si>
  <si>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</si>
  <si>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</si>
  <si>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</si>
  <si>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</si>
  <si>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</si>
  <si>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</si>
  <si>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</si>
  <si>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</si>
  <si>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</si>
  <si>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</si>
  <si>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</si>
  <si>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</si>
  <si>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</si>
  <si>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Vandert</t>
  </si>
  <si>
    <t>PO/22-000405</t>
  </si>
  <si>
    <t>L-H0005</t>
  </si>
  <si>
    <t>SO/22-008491</t>
  </si>
  <si>
    <t>ឃ្លាំង08</t>
  </si>
  <si>
    <t>Hea Try  (VN)</t>
  </si>
  <si>
    <t>2022009</t>
  </si>
  <si>
    <t>2022010</t>
  </si>
  <si>
    <t>C-C001</t>
  </si>
  <si>
    <t>C-CN001</t>
  </si>
  <si>
    <t>2022013</t>
  </si>
  <si>
    <t>2022014</t>
  </si>
  <si>
    <t>2022015</t>
  </si>
  <si>
    <t>C-C0002</t>
  </si>
  <si>
    <t>CVSD@!</t>
  </si>
  <si>
    <t>2022016</t>
  </si>
  <si>
    <t>2022017</t>
  </si>
  <si>
    <t>2022018</t>
  </si>
  <si>
    <t>Contract Balance</t>
  </si>
  <si>
    <t>C-0004</t>
  </si>
  <si>
    <t>REF_111ILV</t>
  </si>
  <si>
    <t>2022019</t>
  </si>
  <si>
    <t>2022020</t>
  </si>
  <si>
    <t>Step 1</t>
  </si>
  <si>
    <t>Step 2</t>
  </si>
  <si>
    <t>2022021</t>
  </si>
  <si>
    <t>L-C00002</t>
  </si>
  <si>
    <t>CMIC</t>
  </si>
  <si>
    <t>2022022</t>
  </si>
  <si>
    <t>2022023</t>
  </si>
  <si>
    <t>SO/20-003416</t>
  </si>
  <si>
    <t>Enter Wrong Item PDN/20-000043 PO/20-000854</t>
  </si>
  <si>
    <t>2022024</t>
  </si>
  <si>
    <t>C-0003</t>
  </si>
  <si>
    <t>Pay po on contract</t>
  </si>
  <si>
    <t>Pay on contract 2</t>
  </si>
  <si>
    <t>Pay on contract 3</t>
  </si>
  <si>
    <t>Last payment</t>
  </si>
  <si>
    <t>C-0005</t>
  </si>
  <si>
    <t>PO paid 1</t>
  </si>
  <si>
    <t>PO ref 1</t>
  </si>
  <si>
    <t>PO paid 2</t>
  </si>
  <si>
    <t>PO ref 2</t>
  </si>
  <si>
    <t>First paid PO/22-000405</t>
  </si>
  <si>
    <t>First ref PO/22-000405</t>
  </si>
  <si>
    <t>FAII-001</t>
  </si>
  <si>
    <t>2022025</t>
  </si>
  <si>
    <t>PO/22-000499</t>
  </si>
  <si>
    <t>CM0001</t>
  </si>
  <si>
    <t>SO/22-011116</t>
  </si>
  <si>
    <t>យកនៅឃ្លាំង០៩</t>
  </si>
  <si>
    <t>CMTR</t>
  </si>
  <si>
    <t>2022026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</si>
</sst>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1" xfId="0" applyFont="1" applyBorder="1"/>
    <xf numFmtId="14" fontId="5" fillId="0" borderId="3" xfId="0" applyNumberFormat="1" applyFont="1" applyBorder="1"/>
    <xf numFmtId="14" fontId="5" fillId="0" borderId="4" xfId="0" applyNumberFormat="1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9" xfId="0" quotePrefix="1" applyFont="1" applyFill="1" applyBorder="1" applyAlignment="1">
      <alignment vertical="center"/>
    </xf>
    <xf numFmtId="0" fontId="5" fillId="0" borderId="6" xfId="0" applyFont="1" applyBorder="1"/>
    <xf numFmtId="14" fontId="0" fillId="0" borderId="0" xfId="0" applyNumberFormat="1"/>
    <xf numFmtId="0" fontId="4" fillId="0" borderId="0" xfId="0" applyFont="1" applyBorder="1" applyAlignment="1">
      <alignment horizontal="right"/>
    </xf>
    <xf numFmtId="0" fontId="3" fillId="0" borderId="0" xfId="0" applyFont="1" applyBorder="1"/>
    <xf numFmtId="0" fontId="0" fillId="0" borderId="0" xfId="0" applyBorder="1"/>
    <xf numFmtId="22" fontId="3" fillId="0" borderId="0" xfId="0" applyNumberFormat="1" applyFont="1" applyBorder="1"/>
    <xf numFmtId="0" fontId="8" fillId="0" borderId="0" xfId="0" applyFont="1" applyBorder="1"/>
    <xf numFmtId="0" fontId="0" fillId="0" borderId="12" xfId="0" applyBorder="1" applyAlignment="1">
      <alignment wrapText="1"/>
    </xf>
    <xf numFmtId="14" fontId="0" fillId="0" borderId="0" xfId="0" applyNumberFormat="1" applyBorder="1"/>
    <xf numFmtId="14" fontId="4" fillId="4" borderId="3" xfId="0" applyNumberFormat="1" applyFont="1" applyFill="1" applyBorder="1" applyAlignment="1">
      <alignment horizontal="center" vertic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3" borderId="13" xfId="0" applyFont="1" applyFill="1" applyBorder="1"/>
    <xf numFmtId="14" fontId="5" fillId="3" borderId="13" xfId="0" applyNumberFormat="1" applyFont="1" applyFill="1" applyBorder="1"/>
    <xf numFmtId="0" fontId="7" fillId="3" borderId="13" xfId="0" applyFont="1" applyFill="1" applyBorder="1"/>
    <xf numFmtId="0" fontId="5" fillId="3" borderId="4" xfId="0" applyFont="1" applyFill="1" applyBorder="1"/>
    <xf numFmtId="0" fontId="5" fillId="3" borderId="8" xfId="0" applyFont="1" applyFill="1" applyBorder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5" fillId="3" borderId="5" xfId="0" applyFont="1" applyFill="1" applyBorder="1"/>
    <xf numFmtId="0" fontId="5" fillId="3" borderId="12" xfId="0" applyFont="1" applyFill="1" applyBorder="1"/>
    <xf numFmtId="14" fontId="5" fillId="3" borderId="12" xfId="0" applyNumberFormat="1" applyFont="1" applyFill="1" applyBorder="1"/>
    <xf numFmtId="0" fontId="7" fillId="3" borderId="12" xfId="0" applyFont="1" applyFill="1" applyBorder="1"/>
    <xf numFmtId="0" fontId="5" fillId="3" borderId="6" xfId="0" applyFont="1" applyFill="1" applyBorder="1"/>
    <xf numFmtId="0" fontId="5" fillId="3" borderId="9" xfId="0" applyFont="1" applyFill="1" applyBorder="1"/>
    <xf numFmtId="0" fontId="5" fillId="3" borderId="7" xfId="0" applyFont="1" applyFill="1" applyBorder="1"/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0</xdr:row>
          <xdr:rowOff>0</xdr:rowOff>
        </xdr:from>
        <xdr:to>
          <xdr:col>6</xdr:col>
          <xdr:colOff>1333500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388560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2022027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8/19/2022  4:28:21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N/A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C-0005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CMTR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2912.67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N/A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70" zoomScaleNormal="70" workbookViewId="0">
      <selection activeCell="F8" sqref="F8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5" width="11.6328125" style="13" bestFit="1" customWidth="1"/>
    <col min="6" max="6" width="18" style="13" bestFit="1" customWidth="1"/>
    <col min="7" max="7" width="20.7265625" style="13" bestFit="1" customWidth="1"/>
    <col min="8" max="8" width="24.26953125" style="13" bestFit="1" customWidth="1"/>
    <col min="9" max="9" width="22.7265625" style="13" bestFit="1" customWidth="1"/>
    <col min="10" max="10" width="3.453125" style="13" bestFit="1" customWidth="1"/>
    <col min="11" max="11" width="15" style="13" bestFit="1" customWidth="1"/>
    <col min="12" max="12" width="13.1796875" style="13" bestFit="1" customWidth="1"/>
    <col min="13" max="13" width="15" style="18" bestFit="1" customWidth="1"/>
    <col min="14" max="14" width="15.54296875" style="13" bestFit="1" customWidth="1"/>
    <col min="15" max="15" width="13.6328125" style="13" bestFit="1" customWidth="1"/>
    <col min="16" max="16" width="11.90625" style="13" bestFit="1" customWidth="1"/>
    <col min="17" max="17" width="11.6328125" style="13" bestFit="1" customWidth="1"/>
    <col min="18" max="18" width="10.6328125" style="13" bestFit="1" customWidth="1"/>
    <col min="19" max="19" width="15.1796875" style="13" bestFit="1" customWidth="1"/>
    <col min="20" max="20" width="16.08984375" style="13" bestFit="1" customWidth="1"/>
    <col min="21" max="21" width="15.816406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17</v>
      </c>
      <c r="B1" s="35" t="s">
        <v>22</v>
      </c>
      <c r="C1" s="8" t="s">
        <v>38</v>
      </c>
      <c r="D1" s="32"/>
      <c r="E1" s="8" t="s">
        <v>44</v>
      </c>
      <c r="F1" s="34">
        <v>44754</v>
      </c>
      <c r="M1" s="13"/>
    </row>
    <row r="2" spans="1:30" ht="25" customHeight="1" outlineLevel="1" x14ac:dyDescent="0.35">
      <c r="A2" s="8" t="s">
        <v>21</v>
      </c>
      <c r="B2" s="31" t="s">
        <v>22</v>
      </c>
      <c r="C2" s="8" t="s">
        <v>43</v>
      </c>
      <c r="D2" s="32"/>
      <c r="E2" s="8"/>
      <c r="F2" s="10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53" t="s">
        <v>57</v>
      </c>
      <c r="B4" s="53" t="s">
        <v>58</v>
      </c>
      <c r="C4" s="54" t="s">
        <v>59</v>
      </c>
      <c r="D4" s="54" t="s">
        <v>26</v>
      </c>
      <c r="E4" s="54" t="s">
        <v>27</v>
      </c>
      <c r="F4" s="53" t="s">
        <v>56</v>
      </c>
      <c r="G4" s="53" t="s">
        <v>60</v>
      </c>
      <c r="H4" s="53" t="s">
        <v>61</v>
      </c>
      <c r="I4" s="53" t="s">
        <v>62</v>
      </c>
      <c r="J4" s="53" t="s">
        <v>13</v>
      </c>
      <c r="K4" s="53" t="s">
        <v>63</v>
      </c>
      <c r="L4" s="53" t="s">
        <v>64</v>
      </c>
      <c r="M4" s="53" t="s">
        <v>65</v>
      </c>
      <c r="N4" s="53" t="s">
        <v>66</v>
      </c>
      <c r="O4" s="53" t="s">
        <v>67</v>
      </c>
      <c r="P4" s="53" t="s">
        <v>68</v>
      </c>
      <c r="Q4" s="53" t="s">
        <v>69</v>
      </c>
      <c r="R4" s="53" t="s">
        <v>70</v>
      </c>
      <c r="S4" s="53" t="s">
        <v>36</v>
      </c>
      <c r="T4" s="53" t="s">
        <v>71</v>
      </c>
      <c r="U4" s="53" t="s">
        <v>72</v>
      </c>
      <c r="V4" s="53" t="s">
        <v>73</v>
      </c>
      <c r="W4" s="53" t="s">
        <v>74</v>
      </c>
      <c r="X4" s="53" t="s">
        <v>75</v>
      </c>
      <c r="Y4" s="53" t="s">
        <v>76</v>
      </c>
      <c r="Z4" s="53" t="s">
        <v>98</v>
      </c>
      <c r="AA4" s="53" t="s">
        <v>23</v>
      </c>
      <c r="AB4" s="53" t="s">
        <v>28</v>
      </c>
      <c r="AC4" s="15"/>
      <c r="AD4" s="15"/>
    </row>
    <row r="5" spans="1:30" x14ac:dyDescent="1.25">
      <c r="A5" s="51">
        <v>2022007</v>
      </c>
      <c r="B5" s="48" t="s">
        <v>80</v>
      </c>
      <c r="C5" s="49">
        <v>44787.967307407409</v>
      </c>
      <c r="D5" s="49">
        <v>44754</v>
      </c>
      <c r="E5" s="49">
        <v>44754</v>
      </c>
      <c r="F5" s="48">
        <v>875.84</v>
      </c>
      <c r="G5" s="48">
        <v>50</v>
      </c>
      <c r="H5" s="48" t="s">
        <v>114</v>
      </c>
      <c r="I5" s="48" t="s">
        <v>114</v>
      </c>
      <c r="J5" s="48">
        <v>7</v>
      </c>
      <c r="K5" s="48" t="s">
        <v>81</v>
      </c>
      <c r="L5" s="48" t="s">
        <v>82</v>
      </c>
      <c r="M5" s="50" t="s">
        <v>85</v>
      </c>
      <c r="N5" s="48" t="s">
        <v>83</v>
      </c>
      <c r="O5" s="48" t="s">
        <v>84</v>
      </c>
      <c r="P5" s="48">
        <v>1751.68</v>
      </c>
      <c r="Q5" s="48">
        <v>875.84</v>
      </c>
      <c r="R5" s="48">
        <v>875.84</v>
      </c>
      <c r="S5" s="48"/>
      <c r="T5" s="48"/>
      <c r="U5" s="48"/>
      <c r="V5" s="48">
        <v>0</v>
      </c>
      <c r="W5" s="48"/>
      <c r="X5" s="48" t="s">
        <v>113</v>
      </c>
      <c r="Y5" s="48">
        <v>50000</v>
      </c>
      <c r="Z5" s="48">
        <v>46624.160000000003</v>
      </c>
      <c r="AA5" s="48"/>
      <c r="AB5" s="59" t="s">
        <v>45</v>
      </c>
      <c r="AC5" s="15"/>
      <c r="AD5" s="15"/>
    </row>
    <row r="6" spans="1:30" x14ac:dyDescent="1.25">
      <c r="A6" s="52">
        <v>2022008</v>
      </c>
      <c r="B6" s="15" t="s">
        <v>80</v>
      </c>
      <c r="C6" s="16">
        <v>44787.967799108796</v>
      </c>
      <c r="D6" s="16">
        <v>44754</v>
      </c>
      <c r="E6" s="16">
        <v>44754</v>
      </c>
      <c r="F6" s="15">
        <v>875.84</v>
      </c>
      <c r="G6" s="15">
        <v>50</v>
      </c>
      <c r="H6" s="15" t="s">
        <v>115</v>
      </c>
      <c r="I6" s="15" t="s">
        <v>116</v>
      </c>
      <c r="J6" s="15">
        <v>8</v>
      </c>
      <c r="K6" s="15" t="s">
        <v>81</v>
      </c>
      <c r="L6" s="15" t="s">
        <v>82</v>
      </c>
      <c r="M6" s="17" t="s">
        <v>85</v>
      </c>
      <c r="N6" s="15" t="s">
        <v>83</v>
      </c>
      <c r="O6" s="15" t="s">
        <v>84</v>
      </c>
      <c r="P6" s="15">
        <v>1751.68</v>
      </c>
      <c r="Q6" s="15">
        <v>0</v>
      </c>
      <c r="R6" s="15">
        <v>875.84</v>
      </c>
      <c r="S6" s="15"/>
      <c r="T6" s="15"/>
      <c r="U6" s="15"/>
      <c r="V6" s="15">
        <v>0</v>
      </c>
      <c r="W6" s="15"/>
      <c r="X6" s="15" t="s">
        <v>113</v>
      </c>
      <c r="Y6" s="15">
        <v>50000</v>
      </c>
      <c r="Z6" s="15">
        <v>45748.32</v>
      </c>
      <c r="AA6" s="15"/>
      <c r="AB6" s="60" t="s">
        <v>45</v>
      </c>
      <c r="AC6" s="15"/>
      <c r="AD6" s="15"/>
    </row>
    <row r="7" spans="1:30" x14ac:dyDescent="1.25">
      <c r="A7" s="52">
        <v>2022009</v>
      </c>
      <c r="B7" s="15" t="s">
        <v>80</v>
      </c>
      <c r="C7" s="16">
        <v>44787.96904614583</v>
      </c>
      <c r="D7" s="16">
        <v>44754</v>
      </c>
      <c r="E7" s="16">
        <v>44754</v>
      </c>
      <c r="F7" s="15">
        <v>45748.32</v>
      </c>
      <c r="G7" s="15">
        <v>100</v>
      </c>
      <c r="H7" s="15" t="s">
        <v>117</v>
      </c>
      <c r="I7" s="15" t="s">
        <v>117</v>
      </c>
      <c r="J7" s="15">
        <v>9</v>
      </c>
      <c r="K7" s="15" t="s">
        <v>81</v>
      </c>
      <c r="L7" s="15" t="s">
        <v>82</v>
      </c>
      <c r="M7" s="17" t="s">
        <v>85</v>
      </c>
      <c r="N7" s="15" t="s">
        <v>83</v>
      </c>
      <c r="O7" s="15" t="s">
        <v>84</v>
      </c>
      <c r="P7" s="15">
        <v>45748.32</v>
      </c>
      <c r="Q7" s="15">
        <v>0</v>
      </c>
      <c r="R7" s="15">
        <v>45748.32</v>
      </c>
      <c r="S7" s="15"/>
      <c r="T7" s="15"/>
      <c r="U7" s="15"/>
      <c r="V7" s="15">
        <v>0</v>
      </c>
      <c r="W7" s="15"/>
      <c r="X7" s="15" t="s">
        <v>113</v>
      </c>
      <c r="Y7" s="15">
        <v>50000</v>
      </c>
      <c r="Z7" s="15">
        <v>0</v>
      </c>
      <c r="AA7" s="15"/>
      <c r="AB7" s="60" t="s">
        <v>45</v>
      </c>
      <c r="AC7" s="15"/>
      <c r="AD7" s="15"/>
    </row>
    <row r="8" spans="1:30" x14ac:dyDescent="1.25">
      <c r="A8" s="52">
        <v>2022014</v>
      </c>
      <c r="B8" s="15" t="s">
        <v>80</v>
      </c>
      <c r="C8" s="16">
        <v>44790.385736539349</v>
      </c>
      <c r="D8" s="16">
        <v>44754</v>
      </c>
      <c r="E8" s="16">
        <v>44754</v>
      </c>
      <c r="F8" s="15">
        <v>875.84</v>
      </c>
      <c r="G8" s="15">
        <v>50</v>
      </c>
      <c r="H8" s="15" t="s">
        <v>119</v>
      </c>
      <c r="I8" s="15" t="s">
        <v>120</v>
      </c>
      <c r="J8" s="15">
        <v>15</v>
      </c>
      <c r="K8" s="15" t="s">
        <v>81</v>
      </c>
      <c r="L8" s="15" t="s">
        <v>82</v>
      </c>
      <c r="M8" s="17" t="s">
        <v>85</v>
      </c>
      <c r="N8" s="15" t="s">
        <v>83</v>
      </c>
      <c r="O8" s="15" t="s">
        <v>84</v>
      </c>
      <c r="P8" s="15">
        <v>1751.68</v>
      </c>
      <c r="Q8" s="15">
        <v>875.84</v>
      </c>
      <c r="R8" s="15">
        <v>825.84</v>
      </c>
      <c r="S8" s="15"/>
      <c r="T8" s="15"/>
      <c r="U8" s="15"/>
      <c r="V8" s="15">
        <v>50</v>
      </c>
      <c r="W8" s="15"/>
      <c r="X8" s="15" t="s">
        <v>88</v>
      </c>
      <c r="Y8" s="15">
        <v>10000</v>
      </c>
      <c r="Z8" s="15">
        <v>4124.16</v>
      </c>
      <c r="AA8" s="15"/>
      <c r="AB8" s="60" t="s">
        <v>45</v>
      </c>
      <c r="AC8" s="15"/>
      <c r="AD8" s="15"/>
    </row>
    <row r="9" spans="1:30" x14ac:dyDescent="1.25">
      <c r="A9" s="52">
        <v>2022015</v>
      </c>
      <c r="B9" s="15" t="s">
        <v>80</v>
      </c>
      <c r="C9" s="16">
        <v>44790.386647106483</v>
      </c>
      <c r="D9" s="16">
        <v>44754</v>
      </c>
      <c r="E9" s="16">
        <v>44754</v>
      </c>
      <c r="F9" s="15">
        <v>875.84</v>
      </c>
      <c r="G9" s="15">
        <v>50</v>
      </c>
      <c r="H9" s="15" t="s">
        <v>121</v>
      </c>
      <c r="I9" s="15" t="s">
        <v>122</v>
      </c>
      <c r="J9" s="15">
        <v>16</v>
      </c>
      <c r="K9" s="15" t="s">
        <v>81</v>
      </c>
      <c r="L9" s="15" t="s">
        <v>82</v>
      </c>
      <c r="M9" s="17" t="s">
        <v>85</v>
      </c>
      <c r="N9" s="15" t="s">
        <v>83</v>
      </c>
      <c r="O9" s="15" t="s">
        <v>84</v>
      </c>
      <c r="P9" s="15">
        <v>1751.68</v>
      </c>
      <c r="Q9" s="15">
        <v>0</v>
      </c>
      <c r="R9" s="15">
        <v>875.84</v>
      </c>
      <c r="S9" s="15"/>
      <c r="T9" s="15"/>
      <c r="U9" s="15"/>
      <c r="V9" s="15">
        <v>0</v>
      </c>
      <c r="W9" s="15"/>
      <c r="X9" s="15" t="s">
        <v>88</v>
      </c>
      <c r="Y9" s="15">
        <v>10000</v>
      </c>
      <c r="Z9" s="15">
        <v>3248.32</v>
      </c>
      <c r="AA9" s="15"/>
      <c r="AB9" s="60" t="s">
        <v>45</v>
      </c>
      <c r="AC9" s="15"/>
      <c r="AD9" s="15"/>
    </row>
    <row r="10" spans="1:30" x14ac:dyDescent="1.25">
      <c r="A10" s="52">
        <v>2022017</v>
      </c>
      <c r="B10" s="15" t="s">
        <v>80</v>
      </c>
      <c r="C10" s="16">
        <v>44790.405275694444</v>
      </c>
      <c r="D10" s="16">
        <v>44754</v>
      </c>
      <c r="E10" s="16">
        <v>44754</v>
      </c>
      <c r="F10" s="15">
        <v>875.84</v>
      </c>
      <c r="G10" s="15">
        <v>50</v>
      </c>
      <c r="H10" s="15" t="s">
        <v>123</v>
      </c>
      <c r="I10" s="15" t="s">
        <v>124</v>
      </c>
      <c r="J10" s="15">
        <v>18</v>
      </c>
      <c r="K10" s="15" t="s">
        <v>81</v>
      </c>
      <c r="L10" s="15" t="s">
        <v>82</v>
      </c>
      <c r="M10" s="17" t="s">
        <v>85</v>
      </c>
      <c r="N10" s="15" t="s">
        <v>83</v>
      </c>
      <c r="O10" s="15" t="s">
        <v>84</v>
      </c>
      <c r="P10" s="15">
        <v>1751.68</v>
      </c>
      <c r="Q10" s="15">
        <v>875.84</v>
      </c>
      <c r="R10" s="15">
        <v>875.84</v>
      </c>
      <c r="S10" s="15"/>
      <c r="T10" s="15"/>
      <c r="U10" s="15"/>
      <c r="V10" s="15">
        <v>524</v>
      </c>
      <c r="W10" s="15"/>
      <c r="X10" s="15" t="s">
        <v>93</v>
      </c>
      <c r="Y10" s="15">
        <v>10000</v>
      </c>
      <c r="Z10" s="15">
        <v>2000.16</v>
      </c>
      <c r="AA10" s="15"/>
      <c r="AB10" s="60" t="s">
        <v>45</v>
      </c>
      <c r="AC10" s="15"/>
      <c r="AD10" s="15"/>
    </row>
    <row r="11" spans="1:30" x14ac:dyDescent="1.25">
      <c r="A11" s="52">
        <v>2022018</v>
      </c>
      <c r="B11" s="15" t="s">
        <v>80</v>
      </c>
      <c r="C11" s="16">
        <v>44791.323784722219</v>
      </c>
      <c r="D11" s="16">
        <v>44791</v>
      </c>
      <c r="E11" s="16">
        <v>44791</v>
      </c>
      <c r="F11" s="15">
        <v>1751.68</v>
      </c>
      <c r="G11" s="15">
        <v>100</v>
      </c>
      <c r="H11" s="15" t="s">
        <v>45</v>
      </c>
      <c r="I11" s="15" t="s">
        <v>45</v>
      </c>
      <c r="J11" s="15">
        <v>20</v>
      </c>
      <c r="K11" s="15" t="s">
        <v>81</v>
      </c>
      <c r="L11" s="15" t="s">
        <v>82</v>
      </c>
      <c r="M11" s="17" t="s">
        <v>85</v>
      </c>
      <c r="N11" s="15" t="s">
        <v>83</v>
      </c>
      <c r="O11" s="15" t="s">
        <v>84</v>
      </c>
      <c r="P11" s="15">
        <v>1751.68</v>
      </c>
      <c r="Q11" s="15">
        <v>0</v>
      </c>
      <c r="R11" s="15">
        <v>1751.68</v>
      </c>
      <c r="S11" s="15"/>
      <c r="T11" s="15"/>
      <c r="U11" s="15"/>
      <c r="V11" s="15">
        <v>0</v>
      </c>
      <c r="W11" s="15"/>
      <c r="X11" s="15" t="s">
        <v>93</v>
      </c>
      <c r="Y11" s="15">
        <v>10000</v>
      </c>
      <c r="Z11" s="15">
        <v>248.48</v>
      </c>
      <c r="AA11" s="15"/>
      <c r="AB11" s="60" t="s">
        <v>45</v>
      </c>
      <c r="AC11" s="15"/>
      <c r="AD11" s="15"/>
    </row>
    <row r="12" spans="1:30" x14ac:dyDescent="1.25">
      <c r="A12" s="52">
        <v>2022021</v>
      </c>
      <c r="B12" s="15" t="s">
        <v>80</v>
      </c>
      <c r="C12" s="16">
        <v>44792.337086689811</v>
      </c>
      <c r="D12" s="16">
        <v>44792</v>
      </c>
      <c r="E12" s="16">
        <v>44792</v>
      </c>
      <c r="F12" s="15">
        <v>875.84</v>
      </c>
      <c r="G12" s="15">
        <v>50</v>
      </c>
      <c r="H12" s="15" t="s">
        <v>103</v>
      </c>
      <c r="I12" s="15" t="s">
        <v>104</v>
      </c>
      <c r="J12" s="15">
        <v>23</v>
      </c>
      <c r="K12" s="15" t="s">
        <v>81</v>
      </c>
      <c r="L12" s="15" t="s">
        <v>82</v>
      </c>
      <c r="M12" s="17" t="s">
        <v>85</v>
      </c>
      <c r="N12" s="15" t="s">
        <v>83</v>
      </c>
      <c r="O12" s="15" t="s">
        <v>84</v>
      </c>
      <c r="P12" s="15">
        <v>1751.68</v>
      </c>
      <c r="Q12" s="15">
        <v>875.84</v>
      </c>
      <c r="R12" s="15">
        <v>375.84</v>
      </c>
      <c r="S12" s="15"/>
      <c r="T12" s="15"/>
      <c r="U12" s="15"/>
      <c r="V12" s="15">
        <v>500</v>
      </c>
      <c r="W12" s="15"/>
      <c r="X12" s="15" t="s">
        <v>99</v>
      </c>
      <c r="Y12" s="15">
        <v>10000</v>
      </c>
      <c r="Z12" s="15">
        <v>8124.16</v>
      </c>
      <c r="AA12" s="15"/>
      <c r="AB12" s="60" t="s">
        <v>45</v>
      </c>
      <c r="AC12" s="15"/>
      <c r="AD12" s="15"/>
    </row>
    <row r="13" spans="1:30" x14ac:dyDescent="1.25">
      <c r="A13" s="55">
        <v>2022022</v>
      </c>
      <c r="B13" s="56" t="s">
        <v>80</v>
      </c>
      <c r="C13" s="57">
        <v>44792.339050891205</v>
      </c>
      <c r="D13" s="57">
        <v>44792</v>
      </c>
      <c r="E13" s="57">
        <v>44792</v>
      </c>
      <c r="F13" s="56">
        <v>875.84</v>
      </c>
      <c r="G13" s="56">
        <v>50</v>
      </c>
      <c r="H13" s="56" t="s">
        <v>104</v>
      </c>
      <c r="I13" s="56" t="s">
        <v>104</v>
      </c>
      <c r="J13" s="56">
        <v>24</v>
      </c>
      <c r="K13" s="56" t="s">
        <v>81</v>
      </c>
      <c r="L13" s="56" t="s">
        <v>82</v>
      </c>
      <c r="M13" s="58" t="s">
        <v>85</v>
      </c>
      <c r="N13" s="56" t="s">
        <v>83</v>
      </c>
      <c r="O13" s="56" t="s">
        <v>84</v>
      </c>
      <c r="P13" s="56">
        <v>1751.68</v>
      </c>
      <c r="Q13" s="56">
        <v>0</v>
      </c>
      <c r="R13" s="56">
        <v>875.84</v>
      </c>
      <c r="S13" s="56"/>
      <c r="T13" s="56"/>
      <c r="U13" s="56"/>
      <c r="V13" s="56">
        <v>0</v>
      </c>
      <c r="W13" s="56"/>
      <c r="X13" s="56" t="s">
        <v>99</v>
      </c>
      <c r="Y13" s="56">
        <v>10000</v>
      </c>
      <c r="Z13" s="56">
        <v>7248.32</v>
      </c>
      <c r="AA13" s="56"/>
      <c r="AB13" s="61" t="s">
        <v>45</v>
      </c>
      <c r="AC13" s="15"/>
      <c r="AD13" s="15"/>
    </row>
    <row r="14" spans="1:30" x14ac:dyDescent="1.25">
      <c r="A14" s="52"/>
      <c r="B14" s="15"/>
      <c r="C14" s="16"/>
      <c r="D14" s="16"/>
      <c r="E14" s="16"/>
      <c r="F14" s="15"/>
      <c r="G14" s="15"/>
      <c r="H14" s="15"/>
      <c r="I14" s="15"/>
      <c r="J14" s="15"/>
      <c r="K14" s="15"/>
      <c r="L14" s="15"/>
      <c r="M14" s="17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1.25">
      <c r="A15" s="52"/>
      <c r="B15" s="15"/>
      <c r="C15" s="16"/>
      <c r="D15" s="16"/>
      <c r="E15" s="16"/>
      <c r="F15" s="15"/>
      <c r="G15" s="15"/>
      <c r="H15" s="15"/>
      <c r="I15" s="15"/>
      <c r="J15" s="15"/>
      <c r="K15" s="15"/>
      <c r="L15" s="15"/>
      <c r="M15" s="17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1.25">
      <c r="A16" s="52"/>
      <c r="B16" s="15"/>
      <c r="C16" s="16"/>
      <c r="D16" s="16"/>
      <c r="E16" s="16"/>
      <c r="F16" s="15"/>
      <c r="G16" s="15"/>
      <c r="H16" s="15"/>
      <c r="I16" s="15"/>
      <c r="J16" s="15"/>
      <c r="K16" s="15"/>
      <c r="L16" s="15"/>
      <c r="M16" s="17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1.25">
      <c r="A17" s="52"/>
      <c r="B17" s="15"/>
      <c r="C17" s="16"/>
      <c r="D17" s="16"/>
      <c r="E17" s="16"/>
      <c r="F17" s="15"/>
      <c r="G17" s="15"/>
      <c r="H17" s="15"/>
      <c r="I17" s="15"/>
      <c r="J17" s="15"/>
      <c r="K17" s="15"/>
      <c r="L17" s="15"/>
      <c r="M17" s="17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1.25">
      <c r="A18" s="52"/>
      <c r="B18" s="15"/>
      <c r="C18" s="16"/>
      <c r="D18" s="16"/>
      <c r="E18" s="16"/>
      <c r="F18" s="15"/>
      <c r="G18" s="15"/>
      <c r="H18" s="15"/>
      <c r="I18" s="15"/>
      <c r="J18" s="15"/>
      <c r="K18" s="15"/>
      <c r="L18" s="15"/>
      <c r="M18" s="17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1.25">
      <c r="A19" s="52"/>
      <c r="B19" s="15"/>
      <c r="C19" s="16"/>
      <c r="D19" s="16"/>
      <c r="E19" s="16"/>
      <c r="F19" s="15"/>
      <c r="G19" s="15"/>
      <c r="H19" s="15"/>
      <c r="I19" s="15"/>
      <c r="J19" s="15"/>
      <c r="K19" s="15"/>
      <c r="L19" s="15"/>
      <c r="M19" s="17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1.25">
      <c r="A20" s="52"/>
      <c r="B20" s="15"/>
      <c r="C20" s="16"/>
      <c r="D20" s="16"/>
      <c r="E20" s="16"/>
      <c r="F20" s="15"/>
      <c r="G20" s="15"/>
      <c r="H20" s="15"/>
      <c r="I20" s="15"/>
      <c r="J20" s="15"/>
      <c r="K20" s="15"/>
      <c r="L20" s="15"/>
      <c r="M20" s="17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1.25">
      <c r="A21" s="52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52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52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52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52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52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52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52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52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52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52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52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52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52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52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52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52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52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52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52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52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52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52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52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52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52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52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52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52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52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52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52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52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52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52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52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52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52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52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52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52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52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52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52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52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52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52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52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52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52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52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52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52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52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52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52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52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52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52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52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52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52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52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52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52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52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52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52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52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52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52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52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52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52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52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52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52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52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52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52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52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52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52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52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52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52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52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52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52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52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52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52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52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52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52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52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52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52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52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52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52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52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52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52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52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52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52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52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52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52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52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52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52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52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52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52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52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52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52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52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52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52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52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52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52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52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52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52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52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52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52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52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52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52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52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52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52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52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52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52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52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52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52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52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52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52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52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52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52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52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52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52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52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52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52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52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52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52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52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52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52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52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52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52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52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52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52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52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52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52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52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52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52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52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52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52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52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52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52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52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52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52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52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52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52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52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52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52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52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52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52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52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52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52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52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52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52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52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52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52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52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52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52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52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52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52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52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52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52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52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52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52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52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52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52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52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52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52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52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52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52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52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52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52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52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52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52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52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52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52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52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52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52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52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52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52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52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52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52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52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52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52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52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52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52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52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52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52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52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52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52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52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52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52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52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52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52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52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52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52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52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52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52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52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52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52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52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52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52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52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52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52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52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52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52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52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52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52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52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52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52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52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52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52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52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52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52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52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52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52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52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52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52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52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52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52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52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52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52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52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52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52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52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52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52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52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52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52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52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52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52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52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52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52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52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52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52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52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52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52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52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52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52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52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52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52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52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52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52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52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52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52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52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52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52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52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52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52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52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52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52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52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52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52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52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52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52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52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52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52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52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52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52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52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52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52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52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52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52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52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52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52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52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52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52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52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52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52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52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52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52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52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52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52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52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52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52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52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52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52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52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52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52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52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52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52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52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52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52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52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52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52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52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292100</xdr:colOff>
                    <xdr:row>0</xdr:row>
                    <xdr:rowOff>0</xdr:rowOff>
                  </from>
                  <to>
                    <xdr:col>6</xdr:col>
                    <xdr:colOff>1333500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79</v>
      </c>
      <c r="BA2001" s="7" t="s">
        <v>79</v>
      </c>
    </row>
    <row r="2002" spans="52:53" x14ac:dyDescent="0.35">
      <c r="AZ2002" s="6" t="s">
        <v>15</v>
      </c>
      <c r="BA2002" s="7" t="s">
        <v>2</v>
      </c>
    </row>
    <row r="2003" spans="52:53" x14ac:dyDescent="0.35">
      <c r="AZ2003" s="6" t="s">
        <v>78</v>
      </c>
      <c r="BA2003" s="6" t="s">
        <v>78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57</v>
      </c>
      <c r="B1" t="s">
        <v>58</v>
      </c>
      <c r="C1" t="s">
        <v>59</v>
      </c>
      <c r="D1" t="s">
        <v>26</v>
      </c>
      <c r="E1" t="s">
        <v>27</v>
      </c>
      <c r="F1" t="s">
        <v>56</v>
      </c>
      <c r="G1" t="s">
        <v>60</v>
      </c>
      <c r="H1" t="s">
        <v>61</v>
      </c>
      <c r="I1" t="s">
        <v>62</v>
      </c>
      <c r="J1" t="s">
        <v>13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36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23</v>
      </c>
      <c r="AB1" t="s">
        <v>28</v>
      </c>
    </row>
    <row r="2" spans="1:28" x14ac:dyDescent="0.35">
      <c r="A2">
        <v>2022025</v>
      </c>
      <c r="B2" t="s">
        <v>80</v>
      </c>
      <c r="C2" s="37">
        <v>44792.677414120371</v>
      </c>
      <c r="D2" s="37">
        <v>44754</v>
      </c>
      <c r="E2" s="37">
        <v>44754</v>
      </c>
      <c r="F2">
        <v>1000</v>
      </c>
      <c r="G2">
        <v>10</v>
      </c>
      <c r="H2" t="s">
        <v>45</v>
      </c>
      <c r="I2" t="s">
        <v>45</v>
      </c>
      <c r="J2">
        <v>28</v>
      </c>
      <c r="P2">
        <v>0</v>
      </c>
      <c r="Q2">
        <v>0</v>
      </c>
      <c r="R2">
        <v>1000</v>
      </c>
      <c r="V2">
        <v>0</v>
      </c>
      <c r="X2" t="s">
        <v>118</v>
      </c>
      <c r="Y2">
        <v>10000</v>
      </c>
      <c r="Z2">
        <v>9000</v>
      </c>
      <c r="AB2" t="s">
        <v>45</v>
      </c>
    </row>
    <row r="3" spans="1:28" x14ac:dyDescent="0.35">
      <c r="A3">
        <v>2022026</v>
      </c>
      <c r="B3" t="s">
        <v>80</v>
      </c>
      <c r="C3" s="37">
        <v>44792.682709606481</v>
      </c>
      <c r="D3" s="37">
        <v>44754</v>
      </c>
      <c r="E3" s="37">
        <v>44754</v>
      </c>
      <c r="F3">
        <v>1428</v>
      </c>
      <c r="G3">
        <v>100</v>
      </c>
      <c r="H3" t="s">
        <v>45</v>
      </c>
      <c r="I3" t="s">
        <v>45</v>
      </c>
      <c r="J3">
        <v>29</v>
      </c>
      <c r="K3" t="s">
        <v>81</v>
      </c>
      <c r="L3" t="s">
        <v>106</v>
      </c>
      <c r="M3" t="s">
        <v>107</v>
      </c>
      <c r="N3" t="s">
        <v>110</v>
      </c>
      <c r="O3" t="s">
        <v>111</v>
      </c>
      <c r="P3">
        <v>1428</v>
      </c>
      <c r="Q3">
        <v>0</v>
      </c>
      <c r="R3">
        <v>1428</v>
      </c>
      <c r="V3">
        <v>0</v>
      </c>
      <c r="X3" t="s">
        <v>118</v>
      </c>
      <c r="Y3">
        <v>10000</v>
      </c>
      <c r="Z3">
        <v>7572</v>
      </c>
      <c r="AB3" t="s">
        <v>45</v>
      </c>
    </row>
    <row r="4" spans="1:28" x14ac:dyDescent="0.35">
      <c r="A4">
        <v>2022027</v>
      </c>
      <c r="B4" t="s">
        <v>80</v>
      </c>
      <c r="C4" s="37">
        <v>44792.686359722225</v>
      </c>
      <c r="D4" s="37">
        <v>44754</v>
      </c>
      <c r="E4" s="37">
        <v>44754</v>
      </c>
      <c r="F4">
        <v>2912.67</v>
      </c>
      <c r="G4">
        <v>100</v>
      </c>
      <c r="H4" t="s">
        <v>45</v>
      </c>
      <c r="I4" t="s">
        <v>45</v>
      </c>
      <c r="J4">
        <v>30</v>
      </c>
      <c r="K4" t="s">
        <v>127</v>
      </c>
      <c r="L4" t="s">
        <v>128</v>
      </c>
      <c r="M4" t="s">
        <v>131</v>
      </c>
      <c r="N4" t="s">
        <v>129</v>
      </c>
      <c r="O4" t="s">
        <v>130</v>
      </c>
      <c r="P4">
        <v>2912.67</v>
      </c>
      <c r="Q4">
        <v>0</v>
      </c>
      <c r="R4">
        <v>2912.67</v>
      </c>
      <c r="V4">
        <v>0</v>
      </c>
      <c r="X4" t="s">
        <v>118</v>
      </c>
      <c r="Y4">
        <v>10000</v>
      </c>
      <c r="Z4">
        <v>4659.33</v>
      </c>
      <c r="AB4" t="s">
        <v>45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5"/>
  <sheetViews>
    <sheetView workbookViewId="0">
      <selection activeCell="G17" sqref="G17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14.6328125" bestFit="1" customWidth="1"/>
    <col min="6" max="6" width="13.36328125" bestFit="1" customWidth="1"/>
  </cols>
  <sheetData>
    <row r="2" spans="1:6" ht="15" thickBot="1" x14ac:dyDescent="0.4">
      <c r="A2" t="s">
        <v>3</v>
      </c>
      <c r="B2" s="2" t="s">
        <v>127</v>
      </c>
    </row>
    <row r="3" spans="1:6" x14ac:dyDescent="0.35">
      <c r="A3" s="62" t="str">
        <f ca="1">AG_SMRT("0,Summary Report 1,1",$B$2,$B$2)</f>
        <v>Purchase Order Reference</v>
      </c>
      <c r="B3" s="63" t="s">
        <v>6</v>
      </c>
      <c r="C3" s="63" t="s">
        <v>12</v>
      </c>
      <c r="D3" s="63" t="s">
        <v>8</v>
      </c>
      <c r="E3" s="63" t="s">
        <v>9</v>
      </c>
      <c r="F3" s="62" t="str">
        <f ca="1">AG_SMRT("0,Summary Report 2,1",$B4,$B4)</f>
        <v>Supplier Name</v>
      </c>
    </row>
    <row r="4" spans="1:6" ht="15" thickBot="1" x14ac:dyDescent="0.4">
      <c r="A4" s="2" t="s">
        <v>127</v>
      </c>
      <c r="B4" s="2" t="s">
        <v>128</v>
      </c>
      <c r="C4" s="4">
        <v>2912.67</v>
      </c>
      <c r="D4" s="2" t="s">
        <v>129</v>
      </c>
      <c r="E4" s="2" t="s">
        <v>130</v>
      </c>
      <c r="F4" s="3" t="s">
        <v>131</v>
      </c>
    </row>
    <row r="5" spans="1:6" ht="15" thickBot="1" x14ac:dyDescent="0.4">
      <c r="A5" s="3" t="s">
        <v>14</v>
      </c>
      <c r="B5" s="3"/>
      <c r="C5" s="5">
        <f ca="1">SUBTOTAL(9,C4:C4)</f>
        <v>2912.67</v>
      </c>
      <c r="D5" s="3"/>
      <c r="E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5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16</v>
      </c>
    </row>
    <row r="2" spans="1:1" x14ac:dyDescent="0.35">
      <c r="A2" t="s">
        <v>46</v>
      </c>
    </row>
    <row r="3" spans="1:1" x14ac:dyDescent="0.35">
      <c r="A3" t="s">
        <v>47</v>
      </c>
    </row>
    <row r="4" spans="1:1" x14ac:dyDescent="0.35">
      <c r="A4" t="s">
        <v>48</v>
      </c>
    </row>
    <row r="5" spans="1:1" x14ac:dyDescent="0.35">
      <c r="A5" t="s">
        <v>49</v>
      </c>
    </row>
    <row r="6" spans="1:1" x14ac:dyDescent="0.35">
      <c r="A6" t="s">
        <v>50</v>
      </c>
    </row>
    <row r="7" spans="1:1" x14ac:dyDescent="0.35">
      <c r="A7" t="s">
        <v>51</v>
      </c>
    </row>
    <row r="8" spans="1:1" x14ac:dyDescent="0.35">
      <c r="A8" t="s">
        <v>52</v>
      </c>
    </row>
    <row r="9" spans="1:1" x14ac:dyDescent="0.35">
      <c r="A9" t="s">
        <v>53</v>
      </c>
    </row>
    <row r="10" spans="1:1" x14ac:dyDescent="0.35">
      <c r="A10" t="s">
        <v>86</v>
      </c>
    </row>
    <row r="11" spans="1:1" x14ac:dyDescent="0.35">
      <c r="A11" t="s">
        <v>87</v>
      </c>
    </row>
    <row r="12" spans="1:1" x14ac:dyDescent="0.35">
      <c r="A12" t="s">
        <v>90</v>
      </c>
    </row>
    <row r="13" spans="1:1" x14ac:dyDescent="0.35">
      <c r="A13" t="s">
        <v>91</v>
      </c>
    </row>
    <row r="14" spans="1:1" x14ac:dyDescent="0.35">
      <c r="A14" t="s">
        <v>92</v>
      </c>
    </row>
    <row r="15" spans="1:1" x14ac:dyDescent="0.35">
      <c r="A15" t="s">
        <v>95</v>
      </c>
    </row>
    <row r="16" spans="1:1" x14ac:dyDescent="0.35">
      <c r="A16" t="s">
        <v>96</v>
      </c>
    </row>
    <row r="17" spans="1:1" x14ac:dyDescent="0.35">
      <c r="A17" t="s">
        <v>97</v>
      </c>
    </row>
    <row r="18" spans="1:1" x14ac:dyDescent="0.35">
      <c r="A18" t="s">
        <v>101</v>
      </c>
    </row>
    <row r="19" spans="1:1" x14ac:dyDescent="0.35">
      <c r="A19" t="s">
        <v>102</v>
      </c>
    </row>
    <row r="20" spans="1:1" x14ac:dyDescent="0.35">
      <c r="A20" t="s">
        <v>105</v>
      </c>
    </row>
    <row r="21" spans="1:1" x14ac:dyDescent="0.35">
      <c r="A21" t="s">
        <v>108</v>
      </c>
    </row>
    <row r="22" spans="1:1" x14ac:dyDescent="0.35">
      <c r="A22" t="s">
        <v>109</v>
      </c>
    </row>
    <row r="23" spans="1:1" x14ac:dyDescent="0.35">
      <c r="A23" t="s">
        <v>112</v>
      </c>
    </row>
    <row r="24" spans="1:1" x14ac:dyDescent="0.35">
      <c r="A24" t="s">
        <v>126</v>
      </c>
    </row>
    <row r="25" spans="1:1" x14ac:dyDescent="0.35">
      <c r="A25" t="s">
        <v>132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99</v>
      </c>
      <c r="B2">
        <v>10000</v>
      </c>
      <c r="C2" t="s">
        <v>100</v>
      </c>
    </row>
    <row r="3" spans="1:3" x14ac:dyDescent="0.35">
      <c r="A3" t="s">
        <v>118</v>
      </c>
      <c r="B3">
        <v>10000</v>
      </c>
      <c r="C3" t="s">
        <v>125</v>
      </c>
    </row>
    <row r="4" spans="1:3" x14ac:dyDescent="0.35">
      <c r="A4" t="s">
        <v>93</v>
      </c>
      <c r="B4">
        <v>10000</v>
      </c>
      <c r="C4" t="s">
        <v>94</v>
      </c>
    </row>
    <row r="5" spans="1:3" x14ac:dyDescent="0.35">
      <c r="A5" t="s">
        <v>88</v>
      </c>
      <c r="B5">
        <v>10000</v>
      </c>
      <c r="C5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topLeftCell="A4" zoomScale="70" zoomScaleNormal="70" workbookViewId="0">
      <selection activeCell="H6" sqref="H6"/>
    </sheetView>
  </sheetViews>
  <sheetFormatPr defaultRowHeight="18.5" x14ac:dyDescent="0.45"/>
  <cols>
    <col min="1" max="1" width="18.54296875" style="20" bestFit="1" customWidth="1"/>
    <col min="2" max="2" width="14.90625" style="20" bestFit="1" customWidth="1"/>
    <col min="3" max="3" width="24.26953125" style="19" bestFit="1" customWidth="1"/>
    <col min="4" max="4" width="11.90625" style="19" bestFit="1" customWidth="1"/>
    <col min="5" max="5" width="15.1796875" style="19" bestFit="1" customWidth="1"/>
    <col min="6" max="6" width="12.26953125" style="19" bestFit="1" customWidth="1"/>
    <col min="7" max="7" width="13.08984375" style="19" bestFit="1" customWidth="1"/>
    <col min="8" max="9" width="11.6328125" style="19" bestFit="1" customWidth="1"/>
    <col min="10" max="10" width="18.54296875" style="19" customWidth="1"/>
    <col min="11" max="16384" width="8.7265625" style="19"/>
  </cols>
  <sheetData>
    <row r="1" spans="1:29" customFormat="1" ht="14.5" x14ac:dyDescent="0.35">
      <c r="A1" s="47" t="s">
        <v>30</v>
      </c>
      <c r="B1" s="47"/>
      <c r="C1" s="47"/>
      <c r="D1" s="47"/>
      <c r="E1" s="47"/>
      <c r="F1" s="47"/>
      <c r="G1" s="47"/>
      <c r="H1" s="47"/>
      <c r="I1" s="47"/>
      <c r="J1" s="47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</row>
    <row r="2" spans="1:29" customFormat="1" ht="14.5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</row>
    <row r="3" spans="1:29" customFormat="1" ht="25" customHeight="1" x14ac:dyDescent="0.35">
      <c r="A3" s="11" t="s">
        <v>31</v>
      </c>
      <c r="B3" s="9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</row>
    <row r="4" spans="1:29" customFormat="1" ht="25" customHeight="1" x14ac:dyDescent="0.35">
      <c r="A4" s="11" t="s">
        <v>32</v>
      </c>
      <c r="B4" s="9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</row>
    <row r="5" spans="1:29" s="40" customFormat="1" ht="25" customHeight="1" x14ac:dyDescent="0.35">
      <c r="A5" s="38" t="s">
        <v>39</v>
      </c>
      <c r="B5" s="39"/>
      <c r="C5" s="44"/>
      <c r="D5" s="44"/>
      <c r="E5" s="44"/>
    </row>
    <row r="6" spans="1:29" customFormat="1" ht="25" customHeight="1" x14ac:dyDescent="0.35">
      <c r="A6" s="38" t="s">
        <v>40</v>
      </c>
      <c r="B6" s="41"/>
      <c r="C6" s="44"/>
      <c r="D6" s="44"/>
      <c r="E6" s="44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</row>
    <row r="7" spans="1:29" customFormat="1" ht="25" customHeight="1" x14ac:dyDescent="0.35">
      <c r="A7" s="38" t="s">
        <v>33</v>
      </c>
      <c r="B7" s="39"/>
      <c r="C7" s="44"/>
      <c r="D7" s="44"/>
      <c r="E7" s="44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</row>
    <row r="8" spans="1:29" customFormat="1" ht="25" customHeight="1" x14ac:dyDescent="0.35">
      <c r="A8" s="38" t="s">
        <v>34</v>
      </c>
      <c r="B8" s="39"/>
      <c r="C8" s="44"/>
      <c r="D8" s="44"/>
      <c r="E8" s="44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</row>
    <row r="9" spans="1:29" customFormat="1" ht="25" customHeight="1" x14ac:dyDescent="0.35">
      <c r="A9" s="38" t="s">
        <v>35</v>
      </c>
      <c r="B9" s="39"/>
      <c r="C9" s="44"/>
      <c r="D9" s="44"/>
      <c r="E9" s="44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</row>
    <row r="10" spans="1:29" customFormat="1" ht="25" customHeight="1" x14ac:dyDescent="0.35">
      <c r="A10" s="43"/>
      <c r="B10" s="39"/>
      <c r="C10" s="44"/>
      <c r="D10" s="44"/>
      <c r="E10" s="44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</row>
    <row r="11" spans="1:29" ht="25" customHeight="1" x14ac:dyDescent="0.45">
      <c r="A11" s="26" t="s">
        <v>24</v>
      </c>
      <c r="B11" s="26" t="s">
        <v>25</v>
      </c>
      <c r="C11" s="45" t="s">
        <v>29</v>
      </c>
      <c r="D11" s="46" t="s">
        <v>41</v>
      </c>
      <c r="E11" s="45" t="s">
        <v>36</v>
      </c>
      <c r="F11" s="26" t="s">
        <v>37</v>
      </c>
      <c r="G11" s="26" t="s">
        <v>42</v>
      </c>
      <c r="H11" s="26" t="s">
        <v>26</v>
      </c>
      <c r="I11" s="26" t="s">
        <v>27</v>
      </c>
      <c r="J11" s="26" t="s">
        <v>28</v>
      </c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</row>
    <row r="12" spans="1:29" ht="30" customHeight="1" x14ac:dyDescent="0.45">
      <c r="A12" s="21">
        <v>2022027</v>
      </c>
      <c r="B12" s="21" t="s">
        <v>127</v>
      </c>
      <c r="C12" s="21" t="s">
        <v>45</v>
      </c>
      <c r="D12" s="21">
        <v>2912.67</v>
      </c>
      <c r="E12" s="21"/>
      <c r="F12" s="21">
        <v>0</v>
      </c>
      <c r="G12" s="21">
        <v>2912.67</v>
      </c>
      <c r="H12" s="30">
        <v>44754</v>
      </c>
      <c r="I12" s="29">
        <v>44754</v>
      </c>
      <c r="J12" s="36" t="s">
        <v>45</v>
      </c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</row>
    <row r="13" spans="1:29" ht="30" customHeight="1" x14ac:dyDescent="0.45">
      <c r="A13" s="22"/>
      <c r="B13" s="22"/>
      <c r="C13" s="22"/>
      <c r="D13" s="22"/>
      <c r="E13" s="22"/>
      <c r="F13" s="22"/>
      <c r="G13" s="22"/>
      <c r="H13" s="22"/>
      <c r="I13" s="27"/>
      <c r="J13" s="23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</row>
    <row r="14" spans="1:29" ht="30" customHeight="1" x14ac:dyDescent="0.45">
      <c r="A14" s="22"/>
      <c r="B14" s="22"/>
      <c r="C14" s="22"/>
      <c r="D14" s="22"/>
      <c r="E14" s="22"/>
      <c r="F14" s="22"/>
      <c r="G14" s="22"/>
      <c r="H14" s="22"/>
      <c r="I14" s="27"/>
      <c r="J14" s="23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</row>
    <row r="15" spans="1:29" ht="30" customHeight="1" x14ac:dyDescent="0.45">
      <c r="A15" s="22"/>
      <c r="B15" s="22"/>
      <c r="C15" s="22"/>
      <c r="D15" s="22"/>
      <c r="E15" s="22"/>
      <c r="F15" s="22"/>
      <c r="G15" s="22"/>
      <c r="H15" s="22"/>
      <c r="I15" s="27"/>
      <c r="J15" s="23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</row>
    <row r="16" spans="1:29" ht="30" customHeight="1" x14ac:dyDescent="0.45">
      <c r="A16" s="22"/>
      <c r="B16" s="22"/>
      <c r="C16" s="22"/>
      <c r="D16" s="22"/>
      <c r="E16" s="22"/>
      <c r="F16" s="22"/>
      <c r="G16" s="22"/>
      <c r="H16" s="22"/>
      <c r="I16" s="27"/>
      <c r="J16" s="23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</row>
    <row r="17" spans="1:29" ht="30" customHeight="1" x14ac:dyDescent="0.45">
      <c r="A17" s="22"/>
      <c r="B17" s="22"/>
      <c r="C17" s="22"/>
      <c r="D17" s="22"/>
      <c r="E17" s="22"/>
      <c r="F17" s="22"/>
      <c r="G17" s="22"/>
      <c r="H17" s="22"/>
      <c r="I17" s="27"/>
      <c r="J17" s="23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</row>
    <row r="18" spans="1:29" ht="30" customHeight="1" x14ac:dyDescent="0.45">
      <c r="A18" s="22"/>
      <c r="B18" s="22"/>
      <c r="C18" s="22"/>
      <c r="D18" s="22"/>
      <c r="E18" s="22"/>
      <c r="F18" s="22"/>
      <c r="G18" s="22"/>
      <c r="H18" s="22"/>
      <c r="I18" s="27"/>
      <c r="J18" s="23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</row>
    <row r="19" spans="1:29" ht="30" customHeight="1" x14ac:dyDescent="0.45">
      <c r="A19" s="22"/>
      <c r="B19" s="22"/>
      <c r="C19" s="22"/>
      <c r="D19" s="22"/>
      <c r="E19" s="22"/>
      <c r="F19" s="22"/>
      <c r="G19" s="22"/>
      <c r="H19" s="22"/>
      <c r="I19" s="27"/>
      <c r="J19" s="23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</row>
    <row r="20" spans="1:29" ht="30" customHeight="1" x14ac:dyDescent="0.45">
      <c r="A20" s="22"/>
      <c r="B20" s="22"/>
      <c r="C20" s="22"/>
      <c r="D20" s="22"/>
      <c r="E20" s="22"/>
      <c r="F20" s="22"/>
      <c r="G20" s="22"/>
      <c r="H20" s="22"/>
      <c r="I20" s="27"/>
      <c r="J20" s="23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29" ht="30" customHeight="1" x14ac:dyDescent="0.45">
      <c r="A21" s="22"/>
      <c r="B21" s="22"/>
      <c r="C21" s="22"/>
      <c r="D21" s="22"/>
      <c r="E21" s="22"/>
      <c r="F21" s="22"/>
      <c r="G21" s="22"/>
      <c r="H21" s="22"/>
      <c r="I21" s="27"/>
      <c r="J21" s="23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</row>
    <row r="22" spans="1:29" ht="30" customHeight="1" x14ac:dyDescent="0.45">
      <c r="A22" s="22"/>
      <c r="B22" s="22"/>
      <c r="C22" s="22"/>
      <c r="D22" s="22"/>
      <c r="E22" s="22"/>
      <c r="F22" s="22"/>
      <c r="G22" s="22"/>
      <c r="H22" s="22"/>
      <c r="I22" s="27"/>
      <c r="J22" s="23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</row>
    <row r="23" spans="1:29" ht="30" customHeight="1" x14ac:dyDescent="0.45">
      <c r="A23" s="22"/>
      <c r="B23" s="22"/>
      <c r="C23" s="22"/>
      <c r="D23" s="22"/>
      <c r="E23" s="22"/>
      <c r="F23" s="22"/>
      <c r="G23" s="22"/>
      <c r="H23" s="22"/>
      <c r="I23" s="27"/>
      <c r="J23" s="23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</row>
    <row r="24" spans="1:29" ht="30" customHeight="1" x14ac:dyDescent="0.45">
      <c r="A24" s="22"/>
      <c r="B24" s="22"/>
      <c r="C24" s="22"/>
      <c r="D24" s="22"/>
      <c r="E24" s="22"/>
      <c r="F24" s="22"/>
      <c r="G24" s="22"/>
      <c r="H24" s="22"/>
      <c r="I24" s="27"/>
      <c r="J24" s="23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</row>
    <row r="25" spans="1:29" ht="30" customHeight="1" x14ac:dyDescent="0.45">
      <c r="A25" s="22"/>
      <c r="B25" s="22"/>
      <c r="C25" s="22"/>
      <c r="D25" s="22"/>
      <c r="E25" s="22"/>
      <c r="F25" s="22"/>
      <c r="G25" s="22"/>
      <c r="H25" s="22"/>
      <c r="I25" s="27"/>
      <c r="J25" s="23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</row>
    <row r="26" spans="1:29" ht="30" customHeight="1" x14ac:dyDescent="0.45">
      <c r="A26" s="22"/>
      <c r="B26" s="22"/>
      <c r="C26" s="22"/>
      <c r="D26" s="22"/>
      <c r="E26" s="22"/>
      <c r="F26" s="22"/>
      <c r="G26" s="22"/>
      <c r="H26" s="22"/>
      <c r="I26" s="27"/>
      <c r="J26" s="23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</row>
    <row r="27" spans="1:29" ht="30" customHeight="1" x14ac:dyDescent="0.45">
      <c r="A27" s="22"/>
      <c r="B27" s="22"/>
      <c r="C27" s="22"/>
      <c r="D27" s="22"/>
      <c r="E27" s="22"/>
      <c r="F27" s="22"/>
      <c r="G27" s="22"/>
      <c r="H27" s="22"/>
      <c r="I27" s="27"/>
      <c r="J27" s="23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</row>
    <row r="28" spans="1:29" ht="30" customHeight="1" x14ac:dyDescent="0.45">
      <c r="A28" s="22"/>
      <c r="B28" s="22"/>
      <c r="C28" s="22"/>
      <c r="D28" s="22"/>
      <c r="E28" s="22"/>
      <c r="F28" s="22"/>
      <c r="G28" s="22"/>
      <c r="H28" s="22"/>
      <c r="I28" s="27"/>
      <c r="J28" s="23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</row>
    <row r="29" spans="1:29" ht="30" customHeight="1" x14ac:dyDescent="0.45">
      <c r="A29" s="22"/>
      <c r="B29" s="22"/>
      <c r="C29" s="22"/>
      <c r="D29" s="22"/>
      <c r="E29" s="22"/>
      <c r="F29" s="22"/>
      <c r="G29" s="22"/>
      <c r="H29" s="22"/>
      <c r="I29" s="27"/>
      <c r="J29" s="23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</row>
    <row r="30" spans="1:29" ht="30" customHeight="1" x14ac:dyDescent="0.45">
      <c r="A30" s="22"/>
      <c r="B30" s="22"/>
      <c r="C30" s="22"/>
      <c r="D30" s="22"/>
      <c r="E30" s="22"/>
      <c r="F30" s="22"/>
      <c r="G30" s="22"/>
      <c r="H30" s="22"/>
      <c r="I30" s="27"/>
      <c r="J30" s="23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</row>
    <row r="31" spans="1:29" ht="30" customHeight="1" x14ac:dyDescent="0.45">
      <c r="A31" s="22"/>
      <c r="B31" s="22"/>
      <c r="C31" s="22"/>
      <c r="D31" s="22"/>
      <c r="E31" s="22"/>
      <c r="F31" s="22"/>
      <c r="G31" s="22"/>
      <c r="H31" s="22"/>
      <c r="I31" s="27"/>
      <c r="J31" s="23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</row>
    <row r="32" spans="1:29" ht="30" customHeight="1" x14ac:dyDescent="0.45">
      <c r="A32" s="22"/>
      <c r="B32" s="22"/>
      <c r="C32" s="22"/>
      <c r="D32" s="22"/>
      <c r="E32" s="22"/>
      <c r="F32" s="22"/>
      <c r="G32" s="22"/>
      <c r="H32" s="22"/>
      <c r="I32" s="27"/>
      <c r="J32" s="23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</row>
    <row r="33" spans="1:28" ht="30" customHeight="1" x14ac:dyDescent="0.45">
      <c r="A33" s="24"/>
      <c r="B33" s="24"/>
      <c r="C33" s="24"/>
      <c r="D33" s="24"/>
      <c r="E33" s="24"/>
      <c r="F33" s="24"/>
      <c r="G33" s="24"/>
      <c r="H33" s="24"/>
      <c r="I33" s="28"/>
      <c r="J33" s="25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</row>
    <row r="36" spans="1:28" ht="25" customHeight="1" x14ac:dyDescent="0.45">
      <c r="A36" s="33" t="s">
        <v>54</v>
      </c>
      <c r="B36" s="12"/>
      <c r="C36" s="12"/>
      <c r="D36" s="12"/>
      <c r="E36" s="12"/>
      <c r="F36" s="12"/>
      <c r="G36" s="33" t="s">
        <v>55</v>
      </c>
      <c r="H36" s="12"/>
      <c r="I36" s="12"/>
      <c r="J36" s="1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</row>
    <row r="72" spans="1:28" x14ac:dyDescent="0.45">
      <c r="A72"/>
      <c r="B72"/>
      <c r="C72"/>
      <c r="D72"/>
      <c r="E72"/>
      <c r="F72"/>
      <c r="G72"/>
      <c r="H72"/>
      <c r="I72"/>
      <c r="J7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</row>
    <row r="73" spans="1:28" x14ac:dyDescent="0.45">
      <c r="A73"/>
      <c r="B73"/>
      <c r="C73"/>
      <c r="D73"/>
      <c r="E73"/>
      <c r="F73"/>
      <c r="G73"/>
      <c r="H73"/>
      <c r="I73"/>
      <c r="J73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</row>
    <row r="74" spans="1:28" x14ac:dyDescent="0.45">
      <c r="A74"/>
      <c r="B74"/>
      <c r="C74"/>
      <c r="D74"/>
      <c r="E74"/>
      <c r="F74"/>
      <c r="G74"/>
      <c r="H74"/>
      <c r="I74"/>
      <c r="J74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</row>
    <row r="75" spans="1:28" x14ac:dyDescent="0.45">
      <c r="A75"/>
      <c r="B75"/>
      <c r="C75"/>
      <c r="D75"/>
      <c r="E75"/>
      <c r="F75"/>
      <c r="G75"/>
      <c r="H75"/>
      <c r="I75"/>
      <c r="J75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</row>
    <row r="76" spans="1:28" x14ac:dyDescent="0.45">
      <c r="A76"/>
      <c r="B76"/>
      <c r="C76"/>
      <c r="D76"/>
      <c r="E76"/>
      <c r="F76"/>
      <c r="G76"/>
      <c r="H76"/>
      <c r="I76"/>
      <c r="J76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</row>
    <row r="77" spans="1:28" x14ac:dyDescent="0.45">
      <c r="A77"/>
      <c r="B77"/>
      <c r="C77"/>
      <c r="D77"/>
      <c r="E77"/>
      <c r="F77"/>
      <c r="G77"/>
      <c r="H77"/>
      <c r="I77"/>
      <c r="J77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</row>
    <row r="78" spans="1:28" x14ac:dyDescent="0.45">
      <c r="A78"/>
      <c r="B78"/>
      <c r="C78"/>
      <c r="D78"/>
      <c r="E78"/>
      <c r="F78"/>
      <c r="G78"/>
      <c r="H78"/>
      <c r="I78"/>
      <c r="J78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28" x14ac:dyDescent="0.45">
      <c r="A79"/>
      <c r="B79"/>
      <c r="C79"/>
      <c r="D79"/>
      <c r="E79"/>
      <c r="F79"/>
      <c r="G79"/>
      <c r="H79"/>
      <c r="I79"/>
      <c r="J79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28" x14ac:dyDescent="0.45">
      <c r="A80"/>
      <c r="B80"/>
      <c r="C80"/>
      <c r="D80"/>
      <c r="E80"/>
      <c r="F80"/>
      <c r="G80"/>
      <c r="H80"/>
      <c r="I80"/>
      <c r="J80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x14ac:dyDescent="0.45">
      <c r="A81"/>
      <c r="B81"/>
      <c r="C81"/>
      <c r="D81"/>
      <c r="E81"/>
      <c r="F81"/>
      <c r="G81"/>
      <c r="H81"/>
      <c r="I81"/>
      <c r="J81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x14ac:dyDescent="0.45">
      <c r="A82"/>
      <c r="B82"/>
      <c r="C82"/>
      <c r="D82"/>
      <c r="E82"/>
      <c r="F82"/>
      <c r="G82"/>
      <c r="H82"/>
      <c r="I82"/>
      <c r="J8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x14ac:dyDescent="0.45">
      <c r="A83"/>
      <c r="B83"/>
      <c r="C83"/>
      <c r="D83"/>
      <c r="E83"/>
      <c r="F83"/>
      <c r="G83"/>
      <c r="H83"/>
      <c r="I83"/>
      <c r="J83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x14ac:dyDescent="0.45">
      <c r="A84"/>
      <c r="B84"/>
      <c r="C84"/>
      <c r="D84"/>
      <c r="E84"/>
      <c r="F84"/>
      <c r="G84"/>
      <c r="H84"/>
      <c r="I84"/>
      <c r="J84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x14ac:dyDescent="0.45">
      <c r="A85"/>
      <c r="B85"/>
      <c r="C85"/>
      <c r="D85"/>
      <c r="E85"/>
      <c r="F85"/>
      <c r="G85"/>
      <c r="H85"/>
      <c r="I85"/>
      <c r="J85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x14ac:dyDescent="0.45">
      <c r="A86"/>
      <c r="B86"/>
      <c r="C86"/>
      <c r="D86"/>
      <c r="E86"/>
      <c r="F86"/>
      <c r="G86"/>
      <c r="H86"/>
      <c r="I86"/>
      <c r="J86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x14ac:dyDescent="0.45">
      <c r="A87"/>
      <c r="B87"/>
      <c r="C87"/>
      <c r="D87"/>
      <c r="E87"/>
      <c r="F87"/>
      <c r="G87"/>
      <c r="H87"/>
      <c r="I87"/>
      <c r="J87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x14ac:dyDescent="0.45">
      <c r="A88"/>
      <c r="B88"/>
      <c r="C88"/>
      <c r="D88"/>
      <c r="E88"/>
      <c r="F88"/>
      <c r="G88"/>
      <c r="H88"/>
      <c r="I88"/>
      <c r="J88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x14ac:dyDescent="0.45">
      <c r="A89"/>
      <c r="B89"/>
      <c r="C89"/>
      <c r="D89"/>
      <c r="E89"/>
      <c r="F89"/>
      <c r="G89"/>
      <c r="H89"/>
      <c r="I89"/>
      <c r="J89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x14ac:dyDescent="0.45">
      <c r="A90"/>
      <c r="B90"/>
      <c r="C90"/>
      <c r="D90"/>
      <c r="E90"/>
      <c r="F90"/>
      <c r="G90"/>
      <c r="H90"/>
      <c r="I90"/>
      <c r="J90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x14ac:dyDescent="0.45">
      <c r="A91"/>
      <c r="B91"/>
      <c r="C91"/>
      <c r="D91"/>
      <c r="E91"/>
      <c r="F91"/>
      <c r="G91"/>
      <c r="H91"/>
      <c r="I91"/>
      <c r="J91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x14ac:dyDescent="0.45">
      <c r="A92"/>
      <c r="B92"/>
      <c r="C92"/>
      <c r="D92"/>
      <c r="E92"/>
      <c r="F92"/>
      <c r="G92"/>
      <c r="H92"/>
      <c r="I92"/>
      <c r="J9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x14ac:dyDescent="0.45">
      <c r="A93"/>
      <c r="B93"/>
      <c r="C93"/>
      <c r="D93"/>
      <c r="E93"/>
      <c r="F93"/>
      <c r="G93"/>
      <c r="H93"/>
      <c r="I93"/>
      <c r="J93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x14ac:dyDescent="0.45">
      <c r="A94"/>
      <c r="B94"/>
      <c r="C94"/>
      <c r="D94"/>
      <c r="E94"/>
      <c r="F94"/>
      <c r="G94"/>
      <c r="H94"/>
      <c r="I94"/>
      <c r="J94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  <row r="95" spans="1:28" x14ac:dyDescent="0.45">
      <c r="A95"/>
      <c r="B95"/>
      <c r="C95"/>
      <c r="D95"/>
      <c r="E95"/>
      <c r="F95"/>
      <c r="G95"/>
      <c r="H95"/>
      <c r="I95"/>
      <c r="J95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</row>
    <row r="96" spans="1:28" x14ac:dyDescent="0.45">
      <c r="A96"/>
      <c r="B96"/>
      <c r="C96"/>
      <c r="D96"/>
      <c r="E96"/>
      <c r="F96"/>
      <c r="G96"/>
      <c r="H96"/>
      <c r="I96"/>
      <c r="J96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</row>
    <row r="97" spans="1:28" x14ac:dyDescent="0.45">
      <c r="A97"/>
      <c r="B97"/>
      <c r="C97"/>
      <c r="D97"/>
      <c r="E97"/>
      <c r="F97"/>
      <c r="G97"/>
      <c r="H97"/>
      <c r="I97"/>
      <c r="J97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</row>
    <row r="98" spans="1:28" x14ac:dyDescent="0.45">
      <c r="A98"/>
      <c r="B98"/>
      <c r="C98"/>
      <c r="D98"/>
      <c r="E98"/>
      <c r="F98"/>
      <c r="G98"/>
      <c r="H98"/>
      <c r="I98"/>
      <c r="J98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</row>
    <row r="99" spans="1:28" x14ac:dyDescent="0.45">
      <c r="A99"/>
      <c r="B99"/>
      <c r="C99"/>
      <c r="D99"/>
      <c r="E99"/>
      <c r="F99"/>
      <c r="G99"/>
      <c r="H99"/>
      <c r="I99"/>
      <c r="J99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2022-08-19T09:34:14Z</cp:lastPrinted>
  <dcterms:created xsi:type="dcterms:W3CDTF">2022-06-26T04:06:06Z</dcterms:created>
  <dcterms:modified xsi:type="dcterms:W3CDTF">2022-08-19T09:35:52Z</dcterms:modified>
</cp:coreProperties>
</file>